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  <font>
      <b val="1"/>
      <sz val="16"/>
    </font>
    <font>
      <sz val="13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7F1D1D"/>
      </patternFill>
    </fill>
    <fill>
      <patternFill patternType="solid">
        <fgColor rgb="00FEF2F2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ECACA"/>
          <bgColor rgb="00FECACA"/>
        </patternFill>
      </fill>
    </dxf>
    <dxf>
      <fill>
        <patternFill patternType="solid">
          <fgColor rgb="00FED7AA"/>
          <bgColor rgb="00FED7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3" customWidth="1" min="4" max="4"/>
    <col width="10" customWidth="1" min="5" max="5"/>
    <col width="11" customWidth="1" min="6" max="6"/>
    <col width="11" customWidth="1" min="7" max="7"/>
    <col width="13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</cols>
  <sheetData>
    <row r="1" ht="26" customHeight="1">
      <c r="A1" s="1" t="inlineStr">
        <is>
          <t>🏋️ დანამატები</t>
        </is>
      </c>
      <c r="E1" s="2">
        <f>"შემოსავალი: "&amp;ROUND(SUM(H3:H62),2)&amp;" ₾"</f>
        <v/>
      </c>
      <c r="H1" t="inlineStr">
        <is>
          <t>← ჩაწერე დღის სვეტში, რამდენი გაიყიდა</t>
        </is>
      </c>
    </row>
    <row r="2" ht="38" customHeight="1">
      <c r="A2" s="3" t="inlineStr">
        <is>
          <t>ფოტო</t>
        </is>
      </c>
      <c r="B2" s="3" t="inlineStr">
        <is>
          <t>დასახელება</t>
        </is>
      </c>
      <c r="C2" s="3" t="inlineStr">
        <is>
          <t>თვითღირებულება ₾</t>
        </is>
      </c>
      <c r="D2" s="3" t="inlineStr">
        <is>
          <t>ფასი მიღებაზე ₾</t>
        </is>
      </c>
      <c r="E2" s="3" t="inlineStr">
        <is>
          <t>სულ მიღება</t>
        </is>
      </c>
      <c r="F2" s="3" t="inlineStr">
        <is>
          <t>გაყიდული</t>
        </is>
      </c>
      <c r="G2" s="3" t="inlineStr">
        <is>
          <t>დარჩენილი</t>
        </is>
      </c>
      <c r="H2" s="3" t="inlineStr">
        <is>
          <t>შემოსავალი ₾</t>
        </is>
      </c>
      <c r="I2" s="4" t="n">
        <v>1</v>
      </c>
      <c r="J2" s="4" t="n">
        <v>2</v>
      </c>
      <c r="K2" s="4" t="n">
        <v>3</v>
      </c>
      <c r="L2" s="4" t="n">
        <v>4</v>
      </c>
      <c r="M2" s="4" t="n">
        <v>5</v>
      </c>
      <c r="N2" s="4" t="n">
        <v>6</v>
      </c>
      <c r="O2" s="4" t="n">
        <v>7</v>
      </c>
      <c r="P2" s="4" t="n">
        <v>8</v>
      </c>
      <c r="Q2" s="4" t="n">
        <v>9</v>
      </c>
      <c r="R2" s="4" t="n">
        <v>10</v>
      </c>
      <c r="S2" s="4" t="n">
        <v>11</v>
      </c>
      <c r="T2" s="4" t="n">
        <v>12</v>
      </c>
      <c r="U2" s="4" t="n">
        <v>13</v>
      </c>
      <c r="V2" s="4" t="n">
        <v>14</v>
      </c>
      <c r="W2" s="4" t="n">
        <v>15</v>
      </c>
      <c r="X2" s="4" t="n">
        <v>16</v>
      </c>
      <c r="Y2" s="4" t="n">
        <v>17</v>
      </c>
      <c r="Z2" s="4" t="n">
        <v>18</v>
      </c>
      <c r="AA2" s="4" t="n">
        <v>19</v>
      </c>
      <c r="AB2" s="4" t="n">
        <v>20</v>
      </c>
      <c r="AC2" s="4" t="n">
        <v>21</v>
      </c>
      <c r="AD2" s="4" t="n">
        <v>22</v>
      </c>
      <c r="AE2" s="4" t="n">
        <v>23</v>
      </c>
      <c r="AF2" s="4" t="n">
        <v>24</v>
      </c>
      <c r="AG2" s="4" t="n">
        <v>25</v>
      </c>
      <c r="AH2" s="4" t="n">
        <v>26</v>
      </c>
      <c r="AI2" s="4" t="n">
        <v>27</v>
      </c>
      <c r="AJ2" s="4" t="n">
        <v>28</v>
      </c>
      <c r="AK2" s="4" t="n">
        <v>29</v>
      </c>
      <c r="AL2" s="4" t="n">
        <v>30</v>
      </c>
      <c r="AM2" s="4" t="n">
        <v>31</v>
      </c>
    </row>
    <row r="3" ht="60" customHeight="1">
      <c r="A3" s="5" t="n"/>
      <c r="B3" s="6" t="inlineStr">
        <is>
          <t>OUTRAGE PRE WORKOUT</t>
        </is>
      </c>
      <c r="C3" s="5" t="n">
        <v>115</v>
      </c>
      <c r="D3" s="5" t="n">
        <v>5.5</v>
      </c>
      <c r="E3" s="5" t="n">
        <v>30</v>
      </c>
      <c r="F3" s="7">
        <f>IF($B3="","",SUM(I3:AM3))</f>
        <v/>
      </c>
      <c r="G3" s="8">
        <f>IF($B3="","",N($E3)-N($F3))</f>
        <v/>
      </c>
      <c r="H3" s="5">
        <f>IF($B3="","",N($F3)*N($D3))</f>
        <v/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</row>
    <row r="4" ht="60" customHeight="1">
      <c r="A4" s="5" t="n"/>
      <c r="B4" s="6" t="inlineStr">
        <is>
          <t>THE SHIELD</t>
        </is>
      </c>
      <c r="C4" s="5" t="n">
        <v>100</v>
      </c>
      <c r="D4" s="5" t="n">
        <v>3</v>
      </c>
      <c r="E4" s="5" t="n">
        <v>100</v>
      </c>
      <c r="F4" s="7">
        <f>IF($B4="","",SUM(I4:AM4))</f>
        <v/>
      </c>
      <c r="G4" s="8">
        <f>IF($B4="","",N($E4)-N($F4))</f>
        <v/>
      </c>
      <c r="H4" s="5">
        <f>IF($B4="","",N($F4)*N($D4))</f>
        <v/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</row>
    <row r="5" ht="60" customHeight="1">
      <c r="A5" s="5" t="n"/>
      <c r="B5" s="6" t="inlineStr">
        <is>
          <t>KREATINE MONOHYDRATE</t>
        </is>
      </c>
      <c r="C5" s="5" t="n">
        <v>120</v>
      </c>
      <c r="D5" s="5" t="n">
        <v>3.8</v>
      </c>
      <c r="E5" s="5" t="n">
        <v>80</v>
      </c>
      <c r="F5" s="7">
        <f>IF($B5="","",SUM(I5:AM5))</f>
        <v/>
      </c>
      <c r="G5" s="8">
        <f>IF($B5="","",N($E5)-N($F5))</f>
        <v/>
      </c>
      <c r="H5" s="5">
        <f>IF($B5="","",N($F5)*N($D5))</f>
        <v/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 ht="60" customHeight="1">
      <c r="A6" s="5" t="n"/>
      <c r="B6" s="6" t="inlineStr">
        <is>
          <t>ATOMIC-1</t>
        </is>
      </c>
      <c r="C6" s="5" t="n">
        <v>100</v>
      </c>
      <c r="D6" s="5" t="n">
        <v>2.4</v>
      </c>
      <c r="E6" s="5" t="n">
        <v>70</v>
      </c>
      <c r="F6" s="7">
        <f>IF($B6="","",SUM(I6:AM6))</f>
        <v/>
      </c>
      <c r="G6" s="8">
        <f>IF($B6="","",N($E6)-N($F6))</f>
        <v/>
      </c>
      <c r="H6" s="5">
        <f>IF($B6="","",N($F6)*N($D6))</f>
        <v/>
      </c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</row>
    <row r="7" ht="60" customHeight="1">
      <c r="A7" s="5" t="n"/>
      <c r="B7" s="6" t="inlineStr">
        <is>
          <t>AAKG PLUS</t>
        </is>
      </c>
      <c r="C7" s="5" t="n">
        <v>100</v>
      </c>
      <c r="D7" s="5" t="n">
        <v>5</v>
      </c>
      <c r="E7" s="5" t="n">
        <v>60</v>
      </c>
      <c r="F7" s="7">
        <f>IF($B7="","",SUM(I7:AM7))</f>
        <v/>
      </c>
      <c r="G7" s="8">
        <f>IF($B7="","",N($E7)-N($F7))</f>
        <v/>
      </c>
      <c r="H7" s="5">
        <f>IF($B7="","",N($F7)*N($D7))</f>
        <v/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</row>
    <row r="8" ht="60" customHeight="1">
      <c r="A8" s="5" t="n"/>
      <c r="B8" s="6" t="inlineStr">
        <is>
          <t>AAKG</t>
        </is>
      </c>
      <c r="C8" s="5" t="n">
        <v>100</v>
      </c>
      <c r="D8" s="5" t="n">
        <v>2.8</v>
      </c>
      <c r="E8" s="5" t="n">
        <v>70</v>
      </c>
      <c r="F8" s="7">
        <f>IF($B8="","",SUM(I8:AM8))</f>
        <v/>
      </c>
      <c r="G8" s="8">
        <f>IF($B8="","",N($E8)-N($F8))</f>
        <v/>
      </c>
      <c r="H8" s="5">
        <f>IF($B8="","",N($F8)*N($D8))</f>
        <v/>
      </c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</row>
    <row r="9" ht="60" customHeight="1">
      <c r="A9" s="5" t="n"/>
      <c r="B9" s="6" t="inlineStr">
        <is>
          <t>CITRULLINE</t>
        </is>
      </c>
      <c r="C9" s="5" t="n">
        <v>100</v>
      </c>
      <c r="D9" s="5" t="n">
        <v>3.9</v>
      </c>
      <c r="E9" s="5" t="n">
        <v>50</v>
      </c>
      <c r="F9" s="7">
        <f>IF($B9="","",SUM(I9:AM9))</f>
        <v/>
      </c>
      <c r="G9" s="8">
        <f>IF($B9="","",N($E9)-N($F9))</f>
        <v/>
      </c>
      <c r="H9" s="5">
        <f>IF($B9="","",N($F9)*N($D9))</f>
        <v/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</row>
    <row r="10" ht="60" customHeight="1">
      <c r="A10" s="5" t="n"/>
      <c r="B10" s="6" t="inlineStr">
        <is>
          <t>GLUTA MINE</t>
        </is>
      </c>
      <c r="C10" s="5" t="n">
        <v>100</v>
      </c>
      <c r="D10" s="5" t="n">
        <v>2.5</v>
      </c>
      <c r="E10" s="5" t="n">
        <v>80</v>
      </c>
      <c r="F10" s="7">
        <f>IF($B10="","",SUM(I10:AM10))</f>
        <v/>
      </c>
      <c r="G10" s="8">
        <f>IF($B10="","",N($E10)-N($F10))</f>
        <v/>
      </c>
      <c r="H10" s="5">
        <f>IF($B10="","",N($F10)*N($D10))</f>
        <v/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</row>
    <row r="11" ht="60" customHeight="1">
      <c r="A11" s="5" t="n"/>
      <c r="B11" s="6" t="inlineStr">
        <is>
          <t>BURN SHAPE</t>
        </is>
      </c>
      <c r="C11" s="5" t="n">
        <v>110</v>
      </c>
      <c r="D11" s="5" t="n">
        <v>4</v>
      </c>
      <c r="E11" s="5" t="n">
        <v>40</v>
      </c>
      <c r="F11" s="7">
        <f>IF($B11="","",SUM(I11:AM11))</f>
        <v/>
      </c>
      <c r="G11" s="8">
        <f>IF($B11="","",N($E11)-N($F11))</f>
        <v/>
      </c>
      <c r="H11" s="5">
        <f>IF($B11="","",N($F11)*N($D11))</f>
        <v/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</row>
    <row r="12" ht="60" customHeight="1">
      <c r="A12" s="5" t="n"/>
      <c r="B12" s="6" t="inlineStr">
        <is>
          <t>L-KARNITINE</t>
        </is>
      </c>
      <c r="C12" s="5" t="n">
        <v>115</v>
      </c>
      <c r="D12" s="5" t="n">
        <v>5</v>
      </c>
      <c r="E12" s="5" t="n">
        <v>31</v>
      </c>
      <c r="F12" s="7">
        <f>IF($B12="","",SUM(I12:AM12))</f>
        <v/>
      </c>
      <c r="G12" s="8">
        <f>IF($B12="","",N($E12)-N($F12))</f>
        <v/>
      </c>
      <c r="H12" s="5">
        <f>IF($B12="","",N($F12)*N($D12))</f>
        <v/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</row>
    <row r="13" ht="60" customHeight="1">
      <c r="A13" s="5" t="n"/>
      <c r="B13" s="6" t="inlineStr">
        <is>
          <t>IRON CUT</t>
        </is>
      </c>
      <c r="C13" s="5" t="n">
        <v>100</v>
      </c>
      <c r="D13" s="5" t="n">
        <v>4</v>
      </c>
      <c r="E13" s="5" t="n">
        <v>30</v>
      </c>
      <c r="F13" s="7">
        <f>IF($B13="","",SUM(I13:AM13))</f>
        <v/>
      </c>
      <c r="G13" s="8">
        <f>IF($B13="","",N($E13)-N($F13))</f>
        <v/>
      </c>
      <c r="H13" s="5">
        <f>IF($B13="","",N($F13)*N($D13))</f>
        <v/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</row>
    <row r="14" ht="60" customHeight="1">
      <c r="A14" s="5" t="n"/>
      <c r="B14" s="6" t="inlineStr">
        <is>
          <t>XTEND</t>
        </is>
      </c>
      <c r="C14" s="5" t="n">
        <v>210</v>
      </c>
      <c r="D14" s="5" t="n">
        <v>5</v>
      </c>
      <c r="E14" s="5" t="n">
        <v>90</v>
      </c>
      <c r="F14" s="7">
        <f>IF($B14="","",SUM(I14:AM14))</f>
        <v/>
      </c>
      <c r="G14" s="8">
        <f>IF($B14="","",N($E14)-N($F14))</f>
        <v/>
      </c>
      <c r="H14" s="5">
        <f>IF($B14="","",N($F14)*N($D14))</f>
        <v/>
      </c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</row>
    <row r="15" ht="60" customHeight="1">
      <c r="A15" s="5" t="n"/>
      <c r="B15" s="6" t="inlineStr">
        <is>
          <t>SUPER PUMP AGRESION</t>
        </is>
      </c>
      <c r="C15" s="5" t="n">
        <v>170</v>
      </c>
      <c r="D15" s="5" t="n">
        <v>8</v>
      </c>
      <c r="E15" s="5" t="n">
        <v>40</v>
      </c>
      <c r="F15" s="7">
        <f>IF($B15="","",SUM(I15:AM15))</f>
        <v/>
      </c>
      <c r="G15" s="8">
        <f>IF($B15="","",N($E15)-N($F15))</f>
        <v/>
      </c>
      <c r="H15" s="5">
        <f>IF($B15="","",N($F15)*N($D15))</f>
        <v/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</row>
    <row r="16" ht="60" customHeight="1">
      <c r="A16" s="5" t="n"/>
      <c r="B16" s="6" t="inlineStr">
        <is>
          <t>AMINO MAX 8000</t>
        </is>
      </c>
      <c r="C16" s="5" t="n">
        <v>130</v>
      </c>
      <c r="D16" s="5" t="n"/>
      <c r="E16" s="5" t="n">
        <v>60</v>
      </c>
      <c r="F16" s="7">
        <f>IF($B16="","",SUM(I16:AM16))</f>
        <v/>
      </c>
      <c r="G16" s="8">
        <f>IF($B16="","",N($E16)-N($F16))</f>
        <v/>
      </c>
      <c r="H16" s="5">
        <f>IF($B16="","",N($F16)*N($D16))</f>
        <v/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</row>
    <row r="17" ht="60" customHeight="1">
      <c r="A17" s="5" t="n"/>
      <c r="B17" s="6" t="n"/>
      <c r="C17" s="5" t="n"/>
      <c r="D17" s="5" t="n"/>
      <c r="E17" s="5" t="n"/>
      <c r="F17" s="7">
        <f>IF($B17="","",SUM(I17:AM17))</f>
        <v/>
      </c>
      <c r="G17" s="8">
        <f>IF($B17="","",N($E17)-N($F17))</f>
        <v/>
      </c>
      <c r="H17" s="5">
        <f>IF($B17="","",N($F17)*N($D17))</f>
        <v/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</row>
    <row r="18" ht="60" customHeight="1">
      <c r="A18" s="5" t="n"/>
      <c r="B18" s="6" t="n"/>
      <c r="C18" s="5" t="n"/>
      <c r="D18" s="5" t="n"/>
      <c r="E18" s="5" t="n"/>
      <c r="F18" s="7">
        <f>IF($B18="","",SUM(I18:AM18))</f>
        <v/>
      </c>
      <c r="G18" s="8">
        <f>IF($B18="","",N($E18)-N($F18))</f>
        <v/>
      </c>
      <c r="H18" s="5">
        <f>IF($B18="","",N($F18)*N($D18))</f>
        <v/>
      </c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</row>
    <row r="19" ht="60" customHeight="1">
      <c r="A19" s="5" t="n"/>
      <c r="B19" s="6" t="n"/>
      <c r="C19" s="5" t="n"/>
      <c r="D19" s="5" t="n"/>
      <c r="E19" s="5" t="n"/>
      <c r="F19" s="7">
        <f>IF($B19="","",SUM(I19:AM19))</f>
        <v/>
      </c>
      <c r="G19" s="8">
        <f>IF($B19="","",N($E19)-N($F19))</f>
        <v/>
      </c>
      <c r="H19" s="5">
        <f>IF($B19="","",N($F19)*N($D19))</f>
        <v/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</row>
    <row r="20" ht="60" customHeight="1">
      <c r="A20" s="5" t="n"/>
      <c r="B20" s="6" t="n"/>
      <c r="C20" s="5" t="n"/>
      <c r="D20" s="5" t="n"/>
      <c r="E20" s="5" t="n"/>
      <c r="F20" s="7">
        <f>IF($B20="","",SUM(I20:AM20))</f>
        <v/>
      </c>
      <c r="G20" s="8">
        <f>IF($B20="","",N($E20)-N($F20))</f>
        <v/>
      </c>
      <c r="H20" s="5">
        <f>IF($B20="","",N($F20)*N($D20))</f>
        <v/>
      </c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</row>
    <row r="21" ht="60" customHeight="1">
      <c r="A21" s="5" t="n"/>
      <c r="B21" s="6" t="n"/>
      <c r="C21" s="5" t="n"/>
      <c r="D21" s="5" t="n"/>
      <c r="E21" s="5" t="n"/>
      <c r="F21" s="7">
        <f>IF($B21="","",SUM(I21:AM21))</f>
        <v/>
      </c>
      <c r="G21" s="8">
        <f>IF($B21="","",N($E21)-N($F21))</f>
        <v/>
      </c>
      <c r="H21" s="5">
        <f>IF($B21="","",N($F21)*N($D21))</f>
        <v/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</row>
    <row r="22" ht="60" customHeight="1">
      <c r="A22" s="5" t="n"/>
      <c r="B22" s="6" t="n"/>
      <c r="C22" s="5" t="n"/>
      <c r="D22" s="5" t="n"/>
      <c r="E22" s="5" t="n"/>
      <c r="F22" s="7">
        <f>IF($B22="","",SUM(I22:AM22))</f>
        <v/>
      </c>
      <c r="G22" s="8">
        <f>IF($B22="","",N($E22)-N($F22))</f>
        <v/>
      </c>
      <c r="H22" s="5">
        <f>IF($B22="","",N($F22)*N($D22))</f>
        <v/>
      </c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</row>
    <row r="23" ht="60" customHeight="1">
      <c r="A23" s="5" t="n"/>
      <c r="B23" s="6" t="n"/>
      <c r="C23" s="5" t="n"/>
      <c r="D23" s="5" t="n"/>
      <c r="E23" s="5" t="n"/>
      <c r="F23" s="7">
        <f>IF($B23="","",SUM(I23:AM23))</f>
        <v/>
      </c>
      <c r="G23" s="8">
        <f>IF($B23="","",N($E23)-N($F23))</f>
        <v/>
      </c>
      <c r="H23" s="5">
        <f>IF($B23="","",N($F23)*N($D23))</f>
        <v/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</row>
    <row r="24" ht="60" customHeight="1">
      <c r="A24" s="5" t="n"/>
      <c r="B24" s="6" t="n"/>
      <c r="C24" s="5" t="n"/>
      <c r="D24" s="5" t="n"/>
      <c r="E24" s="5" t="n"/>
      <c r="F24" s="7">
        <f>IF($B24="","",SUM(I24:AM24))</f>
        <v/>
      </c>
      <c r="G24" s="8">
        <f>IF($B24="","",N($E24)-N($F24))</f>
        <v/>
      </c>
      <c r="H24" s="5">
        <f>IF($B24="","",N($F24)*N($D24))</f>
        <v/>
      </c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</row>
    <row r="25" ht="60" customHeight="1">
      <c r="A25" s="5" t="n"/>
      <c r="B25" s="6" t="n"/>
      <c r="C25" s="5" t="n"/>
      <c r="D25" s="5" t="n"/>
      <c r="E25" s="5" t="n"/>
      <c r="F25" s="7">
        <f>IF($B25="","",SUM(I25:AM25))</f>
        <v/>
      </c>
      <c r="G25" s="8">
        <f>IF($B25="","",N($E25)-N($F25))</f>
        <v/>
      </c>
      <c r="H25" s="5">
        <f>IF($B25="","",N($F25)*N($D25))</f>
        <v/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</row>
    <row r="26" ht="60" customHeight="1">
      <c r="A26" s="5" t="n"/>
      <c r="B26" s="6" t="n"/>
      <c r="C26" s="5" t="n"/>
      <c r="D26" s="5" t="n"/>
      <c r="E26" s="5" t="n"/>
      <c r="F26" s="7">
        <f>IF($B26="","",SUM(I26:AM26))</f>
        <v/>
      </c>
      <c r="G26" s="8">
        <f>IF($B26="","",N($E26)-N($F26))</f>
        <v/>
      </c>
      <c r="H26" s="5">
        <f>IF($B26="","",N($F26)*N($D26))</f>
        <v/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</row>
    <row r="27" ht="60" customHeight="1">
      <c r="A27" s="5" t="n"/>
      <c r="B27" s="6" t="n"/>
      <c r="C27" s="5" t="n"/>
      <c r="D27" s="5" t="n"/>
      <c r="E27" s="5" t="n"/>
      <c r="F27" s="7">
        <f>IF($B27="","",SUM(I27:AM27))</f>
        <v/>
      </c>
      <c r="G27" s="8">
        <f>IF($B27="","",N($E27)-N($F27))</f>
        <v/>
      </c>
      <c r="H27" s="5">
        <f>IF($B27="","",N($F27)*N($D27))</f>
        <v/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</row>
    <row r="28" ht="60" customHeight="1">
      <c r="A28" s="5" t="n"/>
      <c r="B28" s="6" t="n"/>
      <c r="C28" s="5" t="n"/>
      <c r="D28" s="5" t="n"/>
      <c r="E28" s="5" t="n"/>
      <c r="F28" s="7">
        <f>IF($B28="","",SUM(I28:AM28))</f>
        <v/>
      </c>
      <c r="G28" s="8">
        <f>IF($B28="","",N($E28)-N($F28))</f>
        <v/>
      </c>
      <c r="H28" s="5">
        <f>IF($B28="","",N($F28)*N($D28))</f>
        <v/>
      </c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</row>
    <row r="29" ht="60" customHeight="1">
      <c r="A29" s="5" t="n"/>
      <c r="B29" s="6" t="n"/>
      <c r="C29" s="5" t="n"/>
      <c r="D29" s="5" t="n"/>
      <c r="E29" s="5" t="n"/>
      <c r="F29" s="7">
        <f>IF($B29="","",SUM(I29:AM29))</f>
        <v/>
      </c>
      <c r="G29" s="8">
        <f>IF($B29="","",N($E29)-N($F29))</f>
        <v/>
      </c>
      <c r="H29" s="5">
        <f>IF($B29="","",N($F29)*N($D29))</f>
        <v/>
      </c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</row>
    <row r="30" ht="60" customHeight="1">
      <c r="A30" s="5" t="n"/>
      <c r="B30" s="6" t="n"/>
      <c r="C30" s="5" t="n"/>
      <c r="D30" s="5" t="n"/>
      <c r="E30" s="5" t="n"/>
      <c r="F30" s="7">
        <f>IF($B30="","",SUM(I30:AM30))</f>
        <v/>
      </c>
      <c r="G30" s="8">
        <f>IF($B30="","",N($E30)-N($F30))</f>
        <v/>
      </c>
      <c r="H30" s="5">
        <f>IF($B30="","",N($F30)*N($D30))</f>
        <v/>
      </c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</row>
    <row r="31" ht="60" customHeight="1">
      <c r="A31" s="5" t="n"/>
      <c r="B31" s="6" t="n"/>
      <c r="C31" s="5" t="n"/>
      <c r="D31" s="5" t="n"/>
      <c r="E31" s="5" t="n"/>
      <c r="F31" s="7">
        <f>IF($B31="","",SUM(I31:AM31))</f>
        <v/>
      </c>
      <c r="G31" s="8">
        <f>IF($B31="","",N($E31)-N($F31))</f>
        <v/>
      </c>
      <c r="H31" s="5">
        <f>IF($B31="","",N($F31)*N($D31))</f>
        <v/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</row>
    <row r="32" ht="60" customHeight="1">
      <c r="A32" s="5" t="n"/>
      <c r="B32" s="6" t="n"/>
      <c r="C32" s="5" t="n"/>
      <c r="D32" s="5" t="n"/>
      <c r="E32" s="5" t="n"/>
      <c r="F32" s="7">
        <f>IF($B32="","",SUM(I32:AM32))</f>
        <v/>
      </c>
      <c r="G32" s="8">
        <f>IF($B32="","",N($E32)-N($F32))</f>
        <v/>
      </c>
      <c r="H32" s="5">
        <f>IF($B32="","",N($F32)*N($D32))</f>
        <v/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</row>
    <row r="33" ht="60" customHeight="1">
      <c r="A33" s="5" t="n"/>
      <c r="B33" s="6" t="n"/>
      <c r="C33" s="5" t="n"/>
      <c r="D33" s="5" t="n"/>
      <c r="E33" s="5" t="n"/>
      <c r="F33" s="7">
        <f>IF($B33="","",SUM(I33:AM33))</f>
        <v/>
      </c>
      <c r="G33" s="8">
        <f>IF($B33="","",N($E33)-N($F33))</f>
        <v/>
      </c>
      <c r="H33" s="5">
        <f>IF($B33="","",N($F33)*N($D33))</f>
        <v/>
      </c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</row>
    <row r="34" ht="60" customHeight="1">
      <c r="A34" s="5" t="n"/>
      <c r="B34" s="6" t="n"/>
      <c r="C34" s="5" t="n"/>
      <c r="D34" s="5" t="n"/>
      <c r="E34" s="5" t="n"/>
      <c r="F34" s="7">
        <f>IF($B34="","",SUM(I34:AM34))</f>
        <v/>
      </c>
      <c r="G34" s="8">
        <f>IF($B34="","",N($E34)-N($F34))</f>
        <v/>
      </c>
      <c r="H34" s="5">
        <f>IF($B34="","",N($F34)*N($D34))</f>
        <v/>
      </c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</row>
    <row r="35" ht="60" customHeight="1">
      <c r="A35" s="5" t="n"/>
      <c r="B35" s="6" t="n"/>
      <c r="C35" s="5" t="n"/>
      <c r="D35" s="5" t="n"/>
      <c r="E35" s="5" t="n"/>
      <c r="F35" s="7">
        <f>IF($B35="","",SUM(I35:AM35))</f>
        <v/>
      </c>
      <c r="G35" s="8">
        <f>IF($B35="","",N($E35)-N($F35))</f>
        <v/>
      </c>
      <c r="H35" s="5">
        <f>IF($B35="","",N($F35)*N($D35))</f>
        <v/>
      </c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</row>
    <row r="36" ht="60" customHeight="1">
      <c r="A36" s="5" t="n"/>
      <c r="B36" s="6" t="n"/>
      <c r="C36" s="5" t="n"/>
      <c r="D36" s="5" t="n"/>
      <c r="E36" s="5" t="n"/>
      <c r="F36" s="7">
        <f>IF($B36="","",SUM(I36:AM36))</f>
        <v/>
      </c>
      <c r="G36" s="8">
        <f>IF($B36="","",N($E36)-N($F36))</f>
        <v/>
      </c>
      <c r="H36" s="5">
        <f>IF($B36="","",N($F36)*N($D36))</f>
        <v/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</row>
    <row r="37" ht="60" customHeight="1">
      <c r="A37" s="5" t="n"/>
      <c r="B37" s="6" t="n"/>
      <c r="C37" s="5" t="n"/>
      <c r="D37" s="5" t="n"/>
      <c r="E37" s="5" t="n"/>
      <c r="F37" s="7">
        <f>IF($B37="","",SUM(I37:AM37))</f>
        <v/>
      </c>
      <c r="G37" s="8">
        <f>IF($B37="","",N($E37)-N($F37))</f>
        <v/>
      </c>
      <c r="H37" s="5">
        <f>IF($B37="","",N($F37)*N($D37))</f>
        <v/>
      </c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</row>
    <row r="38" ht="60" customHeight="1">
      <c r="A38" s="5" t="n"/>
      <c r="B38" s="6" t="n"/>
      <c r="C38" s="5" t="n"/>
      <c r="D38" s="5" t="n"/>
      <c r="E38" s="5" t="n"/>
      <c r="F38" s="7">
        <f>IF($B38="","",SUM(I38:AM38))</f>
        <v/>
      </c>
      <c r="G38" s="8">
        <f>IF($B38="","",N($E38)-N($F38))</f>
        <v/>
      </c>
      <c r="H38" s="5">
        <f>IF($B38="","",N($F38)*N($D38))</f>
        <v/>
      </c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</row>
    <row r="39" ht="60" customHeight="1">
      <c r="A39" s="5" t="n"/>
      <c r="B39" s="6" t="n"/>
      <c r="C39" s="5" t="n"/>
      <c r="D39" s="5" t="n"/>
      <c r="E39" s="5" t="n"/>
      <c r="F39" s="7">
        <f>IF($B39="","",SUM(I39:AM39))</f>
        <v/>
      </c>
      <c r="G39" s="8">
        <f>IF($B39="","",N($E39)-N($F39))</f>
        <v/>
      </c>
      <c r="H39" s="5">
        <f>IF($B39="","",N($F39)*N($D39))</f>
        <v/>
      </c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</row>
    <row r="40" ht="60" customHeight="1">
      <c r="A40" s="5" t="n"/>
      <c r="B40" s="6" t="n"/>
      <c r="C40" s="5" t="n"/>
      <c r="D40" s="5" t="n"/>
      <c r="E40" s="5" t="n"/>
      <c r="F40" s="7">
        <f>IF($B40="","",SUM(I40:AM40))</f>
        <v/>
      </c>
      <c r="G40" s="8">
        <f>IF($B40="","",N($E40)-N($F40))</f>
        <v/>
      </c>
      <c r="H40" s="5">
        <f>IF($B40="","",N($F40)*N($D40))</f>
        <v/>
      </c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</row>
    <row r="41" ht="60" customHeight="1">
      <c r="A41" s="5" t="n"/>
      <c r="B41" s="6" t="n"/>
      <c r="C41" s="5" t="n"/>
      <c r="D41" s="5" t="n"/>
      <c r="E41" s="5" t="n"/>
      <c r="F41" s="7">
        <f>IF($B41="","",SUM(I41:AM41))</f>
        <v/>
      </c>
      <c r="G41" s="8">
        <f>IF($B41="","",N($E41)-N($F41))</f>
        <v/>
      </c>
      <c r="H41" s="5">
        <f>IF($B41="","",N($F41)*N($D41))</f>
        <v/>
      </c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</row>
    <row r="42" ht="60" customHeight="1">
      <c r="A42" s="5" t="n"/>
      <c r="B42" s="6" t="n"/>
      <c r="C42" s="5" t="n"/>
      <c r="D42" s="5" t="n"/>
      <c r="E42" s="5" t="n"/>
      <c r="F42" s="7">
        <f>IF($B42="","",SUM(I42:AM42))</f>
        <v/>
      </c>
      <c r="G42" s="8">
        <f>IF($B42="","",N($E42)-N($F42))</f>
        <v/>
      </c>
      <c r="H42" s="5">
        <f>IF($B42="","",N($F42)*N($D42))</f>
        <v/>
      </c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</row>
    <row r="43" ht="60" customHeight="1">
      <c r="A43" s="5" t="n"/>
      <c r="B43" s="6" t="n"/>
      <c r="C43" s="5" t="n"/>
      <c r="D43" s="5" t="n"/>
      <c r="E43" s="5" t="n"/>
      <c r="F43" s="7">
        <f>IF($B43="","",SUM(I43:AM43))</f>
        <v/>
      </c>
      <c r="G43" s="8">
        <f>IF($B43="","",N($E43)-N($F43))</f>
        <v/>
      </c>
      <c r="H43" s="5">
        <f>IF($B43="","",N($F43)*N($D43))</f>
        <v/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</row>
    <row r="44" ht="60" customHeight="1">
      <c r="A44" s="5" t="n"/>
      <c r="B44" s="6" t="n"/>
      <c r="C44" s="5" t="n"/>
      <c r="D44" s="5" t="n"/>
      <c r="E44" s="5" t="n"/>
      <c r="F44" s="7">
        <f>IF($B44="","",SUM(I44:AM44))</f>
        <v/>
      </c>
      <c r="G44" s="8">
        <f>IF($B44="","",N($E44)-N($F44))</f>
        <v/>
      </c>
      <c r="H44" s="5">
        <f>IF($B44="","",N($F44)*N($D44))</f>
        <v/>
      </c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</row>
    <row r="45" ht="60" customHeight="1">
      <c r="A45" s="5" t="n"/>
      <c r="B45" s="6" t="n"/>
      <c r="C45" s="5" t="n"/>
      <c r="D45" s="5" t="n"/>
      <c r="E45" s="5" t="n"/>
      <c r="F45" s="7">
        <f>IF($B45="","",SUM(I45:AM45))</f>
        <v/>
      </c>
      <c r="G45" s="8">
        <f>IF($B45="","",N($E45)-N($F45))</f>
        <v/>
      </c>
      <c r="H45" s="5">
        <f>IF($B45="","",N($F45)*N($D45))</f>
        <v/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</row>
    <row r="46" ht="60" customHeight="1">
      <c r="A46" s="5" t="n"/>
      <c r="B46" s="6" t="n"/>
      <c r="C46" s="5" t="n"/>
      <c r="D46" s="5" t="n"/>
      <c r="E46" s="5" t="n"/>
      <c r="F46" s="7">
        <f>IF($B46="","",SUM(I46:AM46))</f>
        <v/>
      </c>
      <c r="G46" s="8">
        <f>IF($B46="","",N($E46)-N($F46))</f>
        <v/>
      </c>
      <c r="H46" s="5">
        <f>IF($B46="","",N($F46)*N($D46))</f>
        <v/>
      </c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</row>
    <row r="47" ht="60" customHeight="1">
      <c r="A47" s="5" t="n"/>
      <c r="B47" s="6" t="n"/>
      <c r="C47" s="5" t="n"/>
      <c r="D47" s="5" t="n"/>
      <c r="E47" s="5" t="n"/>
      <c r="F47" s="7">
        <f>IF($B47="","",SUM(I47:AM47))</f>
        <v/>
      </c>
      <c r="G47" s="8">
        <f>IF($B47="","",N($E47)-N($F47))</f>
        <v/>
      </c>
      <c r="H47" s="5">
        <f>IF($B47="","",N($F47)*N($D47))</f>
        <v/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</row>
    <row r="48" ht="60" customHeight="1">
      <c r="A48" s="5" t="n"/>
      <c r="B48" s="6" t="n"/>
      <c r="C48" s="5" t="n"/>
      <c r="D48" s="5" t="n"/>
      <c r="E48" s="5" t="n"/>
      <c r="F48" s="7">
        <f>IF($B48="","",SUM(I48:AM48))</f>
        <v/>
      </c>
      <c r="G48" s="8">
        <f>IF($B48="","",N($E48)-N($F48))</f>
        <v/>
      </c>
      <c r="H48" s="5">
        <f>IF($B48="","",N($F48)*N($D48))</f>
        <v/>
      </c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</row>
    <row r="49" ht="60" customHeight="1">
      <c r="A49" s="5" t="n"/>
      <c r="B49" s="6" t="n"/>
      <c r="C49" s="5" t="n"/>
      <c r="D49" s="5" t="n"/>
      <c r="E49" s="5" t="n"/>
      <c r="F49" s="7">
        <f>IF($B49="","",SUM(I49:AM49))</f>
        <v/>
      </c>
      <c r="G49" s="8">
        <f>IF($B49="","",N($E49)-N($F49))</f>
        <v/>
      </c>
      <c r="H49" s="5">
        <f>IF($B49="","",N($F49)*N($D49))</f>
        <v/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</row>
    <row r="50" ht="60" customHeight="1">
      <c r="A50" s="5" t="n"/>
      <c r="B50" s="6" t="n"/>
      <c r="C50" s="5" t="n"/>
      <c r="D50" s="5" t="n"/>
      <c r="E50" s="5" t="n"/>
      <c r="F50" s="7">
        <f>IF($B50="","",SUM(I50:AM50))</f>
        <v/>
      </c>
      <c r="G50" s="8">
        <f>IF($B50="","",N($E50)-N($F50))</f>
        <v/>
      </c>
      <c r="H50" s="5">
        <f>IF($B50="","",N($F50)*N($D50))</f>
        <v/>
      </c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</row>
    <row r="51" ht="60" customHeight="1">
      <c r="A51" s="5" t="n"/>
      <c r="B51" s="6" t="n"/>
      <c r="C51" s="5" t="n"/>
      <c r="D51" s="5" t="n"/>
      <c r="E51" s="5" t="n"/>
      <c r="F51" s="7">
        <f>IF($B51="","",SUM(I51:AM51))</f>
        <v/>
      </c>
      <c r="G51" s="8">
        <f>IF($B51="","",N($E51)-N($F51))</f>
        <v/>
      </c>
      <c r="H51" s="5">
        <f>IF($B51="","",N($F51)*N($D51))</f>
        <v/>
      </c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</row>
    <row r="52" ht="60" customHeight="1">
      <c r="A52" s="5" t="n"/>
      <c r="B52" s="6" t="n"/>
      <c r="C52" s="5" t="n"/>
      <c r="D52" s="5" t="n"/>
      <c r="E52" s="5" t="n"/>
      <c r="F52" s="7">
        <f>IF($B52="","",SUM(I52:AM52))</f>
        <v/>
      </c>
      <c r="G52" s="8">
        <f>IF($B52="","",N($E52)-N($F52))</f>
        <v/>
      </c>
      <c r="H52" s="5">
        <f>IF($B52="","",N($F52)*N($D52))</f>
        <v/>
      </c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</row>
    <row r="53" ht="60" customHeight="1">
      <c r="A53" s="5" t="n"/>
      <c r="B53" s="6" t="n"/>
      <c r="C53" s="5" t="n"/>
      <c r="D53" s="5" t="n"/>
      <c r="E53" s="5" t="n"/>
      <c r="F53" s="7">
        <f>IF($B53="","",SUM(I53:AM53))</f>
        <v/>
      </c>
      <c r="G53" s="8">
        <f>IF($B53="","",N($E53)-N($F53))</f>
        <v/>
      </c>
      <c r="H53" s="5">
        <f>IF($B53="","",N($F53)*N($D53))</f>
        <v/>
      </c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</row>
    <row r="54" ht="60" customHeight="1">
      <c r="A54" s="5" t="n"/>
      <c r="B54" s="6" t="n"/>
      <c r="C54" s="5" t="n"/>
      <c r="D54" s="5" t="n"/>
      <c r="E54" s="5" t="n"/>
      <c r="F54" s="7">
        <f>IF($B54="","",SUM(I54:AM54))</f>
        <v/>
      </c>
      <c r="G54" s="8">
        <f>IF($B54="","",N($E54)-N($F54))</f>
        <v/>
      </c>
      <c r="H54" s="5">
        <f>IF($B54="","",N($F54)*N($D54))</f>
        <v/>
      </c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</row>
    <row r="55" ht="60" customHeight="1">
      <c r="A55" s="5" t="n"/>
      <c r="B55" s="6" t="n"/>
      <c r="C55" s="5" t="n"/>
      <c r="D55" s="5" t="n"/>
      <c r="E55" s="5" t="n"/>
      <c r="F55" s="7">
        <f>IF($B55="","",SUM(I55:AM55))</f>
        <v/>
      </c>
      <c r="G55" s="8">
        <f>IF($B55="","",N($E55)-N($F55))</f>
        <v/>
      </c>
      <c r="H55" s="5">
        <f>IF($B55="","",N($F55)*N($D55))</f>
        <v/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</row>
    <row r="56" ht="60" customHeight="1">
      <c r="A56" s="5" t="n"/>
      <c r="B56" s="6" t="n"/>
      <c r="C56" s="5" t="n"/>
      <c r="D56" s="5" t="n"/>
      <c r="E56" s="5" t="n"/>
      <c r="F56" s="7">
        <f>IF($B56="","",SUM(I56:AM56))</f>
        <v/>
      </c>
      <c r="G56" s="8">
        <f>IF($B56="","",N($E56)-N($F56))</f>
        <v/>
      </c>
      <c r="H56" s="5">
        <f>IF($B56="","",N($F56)*N($D56))</f>
        <v/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</row>
    <row r="57" ht="60" customHeight="1">
      <c r="A57" s="5" t="n"/>
      <c r="B57" s="6" t="n"/>
      <c r="C57" s="5" t="n"/>
      <c r="D57" s="5" t="n"/>
      <c r="E57" s="5" t="n"/>
      <c r="F57" s="7">
        <f>IF($B57="","",SUM(I57:AM57))</f>
        <v/>
      </c>
      <c r="G57" s="8">
        <f>IF($B57="","",N($E57)-N($F57))</f>
        <v/>
      </c>
      <c r="H57" s="5">
        <f>IF($B57="","",N($F57)*N($D57))</f>
        <v/>
      </c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</row>
    <row r="58" ht="60" customHeight="1">
      <c r="A58" s="5" t="n"/>
      <c r="B58" s="6" t="n"/>
      <c r="C58" s="5" t="n"/>
      <c r="D58" s="5" t="n"/>
      <c r="E58" s="5" t="n"/>
      <c r="F58" s="7">
        <f>IF($B58="","",SUM(I58:AM58))</f>
        <v/>
      </c>
      <c r="G58" s="8">
        <f>IF($B58="","",N($E58)-N($F58))</f>
        <v/>
      </c>
      <c r="H58" s="5">
        <f>IF($B58="","",N($F58)*N($D58))</f>
        <v/>
      </c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</row>
    <row r="59" ht="60" customHeight="1">
      <c r="A59" s="5" t="n"/>
      <c r="B59" s="6" t="n"/>
      <c r="C59" s="5" t="n"/>
      <c r="D59" s="5" t="n"/>
      <c r="E59" s="5" t="n"/>
      <c r="F59" s="7">
        <f>IF($B59="","",SUM(I59:AM59))</f>
        <v/>
      </c>
      <c r="G59" s="8">
        <f>IF($B59="","",N($E59)-N($F59))</f>
        <v/>
      </c>
      <c r="H59" s="5">
        <f>IF($B59="","",N($F59)*N($D59))</f>
        <v/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</row>
    <row r="60" ht="60" customHeight="1">
      <c r="A60" s="5" t="n"/>
      <c r="B60" s="6" t="n"/>
      <c r="C60" s="5" t="n"/>
      <c r="D60" s="5" t="n"/>
      <c r="E60" s="5" t="n"/>
      <c r="F60" s="7">
        <f>IF($B60="","",SUM(I60:AM60))</f>
        <v/>
      </c>
      <c r="G60" s="8">
        <f>IF($B60="","",N($E60)-N($F60))</f>
        <v/>
      </c>
      <c r="H60" s="5">
        <f>IF($B60="","",N($F60)*N($D60))</f>
        <v/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</row>
    <row r="61" ht="60" customHeight="1">
      <c r="A61" s="5" t="n"/>
      <c r="B61" s="6" t="n"/>
      <c r="C61" s="5" t="n"/>
      <c r="D61" s="5" t="n"/>
      <c r="E61" s="5" t="n"/>
      <c r="F61" s="7">
        <f>IF($B61="","",SUM(I61:AM61))</f>
        <v/>
      </c>
      <c r="G61" s="8">
        <f>IF($B61="","",N($E61)-N($F61))</f>
        <v/>
      </c>
      <c r="H61" s="5">
        <f>IF($B61="","",N($F61)*N($D61))</f>
        <v/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</row>
    <row r="62" ht="60" customHeight="1">
      <c r="A62" s="5" t="n"/>
      <c r="B62" s="6" t="n"/>
      <c r="C62" s="5" t="n"/>
      <c r="D62" s="5" t="n"/>
      <c r="E62" s="5" t="n"/>
      <c r="F62" s="7">
        <f>IF($B62="","",SUM(I62:AM62))</f>
        <v/>
      </c>
      <c r="G62" s="8">
        <f>IF($B62="","",N($E62)-N($F62))</f>
        <v/>
      </c>
      <c r="H62" s="5">
        <f>IF($B62="","",N($F62)*N($D62))</f>
        <v/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</row>
  </sheetData>
  <mergeCells count="2">
    <mergeCell ref="A1:D1"/>
    <mergeCell ref="E1:G1"/>
  </mergeCells>
  <conditionalFormatting sqref="G3:G62">
    <cfRule type="expression" priority="1" dxfId="0" stopIfTrue="1">
      <formula>AND(ISNUMBER($G3),$G3&lt;=0)</formula>
    </cfRule>
    <cfRule type="expression" priority="2" dxfId="1">
      <formula>AND(ISNUMBER($G3),$G3&lt;=5)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2026-10-21T09:16:42Z</dcterms:created>
  <dcterms:modified xmlns:dcterms="http://purl.org/dc/terms/" xmlns:xsi="http://www.w3.org/2001/XMLSchema-instance" xsi:type="dcterms:W3CDTF">2026-10-21T09:16:42Z</dcterms:modified>
</cp:coreProperties>
</file>